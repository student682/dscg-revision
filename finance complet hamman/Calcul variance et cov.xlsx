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lajoliverie-my.sharepoint.com/personal/xhamann_la-joliverie_com/Documents/DSCG/Finance/Nouveau programme/Module 5 - Valeur/"/>
    </mc:Choice>
  </mc:AlternateContent>
  <xr:revisionPtr revIDLastSave="7" documentId="11_620F302CF73D50FF9D4E72C534061D7DAFA68C1F" xr6:coauthVersionLast="47" xr6:coauthVersionMax="47" xr10:uidLastSave="{6BD637D8-8A35-4D73-B2BF-DCCF60F6530E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D2" i="1"/>
  <c r="H14" i="1"/>
  <c r="H2" i="1"/>
  <c r="G14" i="1"/>
  <c r="G2" i="1"/>
  <c r="C2" i="1"/>
  <c r="M4" i="1"/>
  <c r="M3" i="1"/>
  <c r="N2" i="1"/>
  <c r="L2" i="1"/>
  <c r="M12" i="1"/>
  <c r="D14" i="1"/>
  <c r="G12" i="1" l="1"/>
  <c r="G11" i="1"/>
  <c r="G10" i="1"/>
  <c r="G9" i="1"/>
  <c r="G8" i="1"/>
  <c r="G7" i="1"/>
  <c r="G6" i="1"/>
  <c r="G5" i="1"/>
  <c r="G4" i="1"/>
  <c r="G3" i="1"/>
  <c r="C3" i="1"/>
  <c r="C4" i="1"/>
  <c r="C5" i="1"/>
  <c r="C6" i="1"/>
  <c r="C7" i="1"/>
  <c r="C8" i="1"/>
  <c r="C9" i="1"/>
  <c r="C10" i="1"/>
  <c r="C11" i="1"/>
  <c r="C12" i="1"/>
  <c r="L7" i="1" l="1"/>
  <c r="M9" i="1"/>
  <c r="L6" i="1"/>
  <c r="H10" i="1"/>
  <c r="L5" i="1"/>
  <c r="M11" i="1"/>
  <c r="L4" i="1"/>
  <c r="H12" i="1"/>
  <c r="C14" i="1"/>
  <c r="H11" i="1"/>
  <c r="M7" i="1"/>
  <c r="M8" i="1"/>
  <c r="H9" i="1"/>
  <c r="D9" i="1"/>
  <c r="L8" i="1"/>
  <c r="N8" i="1" l="1"/>
  <c r="N7" i="1"/>
  <c r="M6" i="1"/>
  <c r="N6" i="1" s="1"/>
  <c r="N4" i="1"/>
  <c r="H3" i="1"/>
  <c r="H4" i="1"/>
  <c r="H5" i="1"/>
  <c r="H6" i="1"/>
  <c r="M5" i="1"/>
  <c r="N5" i="1" s="1"/>
  <c r="H8" i="1"/>
  <c r="D10" i="1"/>
  <c r="D11" i="1"/>
  <c r="D12" i="1"/>
  <c r="D3" i="1"/>
  <c r="D4" i="1"/>
  <c r="L12" i="1"/>
  <c r="N12" i="1" s="1"/>
  <c r="L10" i="1"/>
  <c r="N10" i="1" s="1"/>
  <c r="L3" i="1"/>
  <c r="N3" i="1" s="1"/>
  <c r="D5" i="1"/>
  <c r="L11" i="1"/>
  <c r="N11" i="1" s="1"/>
  <c r="D6" i="1"/>
  <c r="D7" i="1"/>
  <c r="D8" i="1"/>
  <c r="M10" i="1"/>
  <c r="H7" i="1"/>
  <c r="L9" i="1"/>
  <c r="N9" i="1" s="1"/>
  <c r="N14" i="1" l="1"/>
  <c r="H16" i="1"/>
  <c r="D16" i="1"/>
</calcChain>
</file>

<file path=xl/sharedStrings.xml><?xml version="1.0" encoding="utf-8"?>
<sst xmlns="http://schemas.openxmlformats.org/spreadsheetml/2006/main" count="9" uniqueCount="6">
  <si>
    <t>Action</t>
  </si>
  <si>
    <t>Marché</t>
  </si>
  <si>
    <t>Produit</t>
  </si>
  <si>
    <t>Moyenne</t>
  </si>
  <si>
    <t>Var</t>
  </si>
  <si>
    <t>Ecart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</si>
</sst>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_-* #,##0.0000000_-;\-* #,##0.0000000_-;_-* &quot;-&quot;??_-;_-@_-"/>
    <numFmt numFmtId="166" formatCode="0.0000"/>
    <numFmt numFmtId="167" formatCode="0.00000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6" fontId="0" fillId="0" borderId="0" xfId="1" applyNumberFormat="1" applyFont="1"/>
    <xf numFmtId="167" fontId="0" fillId="0" borderId="0" xfId="1" applyNumberFormat="1" applyFont="1"/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160" zoomScaleNormal="160" workbookViewId="0">
      <selection activeCell="N2" sqref="N2"/>
    </sheetView>
  </sheetViews>
  <sheetFormatPr defaultColWidth="11.42578125" defaultRowHeight="15"/>
  <cols>
    <col min="4" max="4" width="12" bestFit="1" customWidth="1"/>
    <col min="8" max="8" width="12" bestFit="1" customWidth="1"/>
    <col min="9" max="10" width="12" customWidth="1"/>
  </cols>
  <sheetData>
    <row r="1" spans="1:14">
      <c r="A1">
        <v>1</v>
      </c>
      <c r="B1">
        <v>196.18</v>
      </c>
      <c r="F1">
        <v>102.3</v>
      </c>
      <c r="L1" t="s">
        <v>0</v>
      </c>
      <c r="M1" t="s">
        <v>1</v>
      </c>
      <c r="N1" t="s">
        <v>2</v>
      </c>
    </row>
    <row r="2" spans="1:14">
      <c r="A2">
        <v>2</v>
      </c>
      <c r="B2">
        <v>195.8</v>
      </c>
      <c r="C2" s="2">
        <f>+(B2-B1)/B1</f>
        <v>-1.9369966357426621E-3</v>
      </c>
      <c r="D2">
        <f>(C2-$C$14)^2</f>
        <v>1.0516424218755421E-5</v>
      </c>
      <c r="F2">
        <v>102.2</v>
      </c>
      <c r="G2" s="2">
        <f>+(F2-F1)/F1</f>
        <v>-9.775171065493091E-4</v>
      </c>
      <c r="H2">
        <f>(G2-$G$14)^2</f>
        <v>3.0509221940203217E-5</v>
      </c>
      <c r="L2" s="3">
        <f>(C2-$C$14)</f>
        <v>-3.2429036709028872E-3</v>
      </c>
      <c r="M2" s="3">
        <f>G2-$G$14</f>
        <v>-5.5235153607284572E-3</v>
      </c>
      <c r="N2" s="4">
        <f>L2*M2</f>
        <v>1.79122282395948E-5</v>
      </c>
    </row>
    <row r="3" spans="1:14">
      <c r="A3">
        <v>3</v>
      </c>
      <c r="B3">
        <v>194.55</v>
      </c>
      <c r="C3" s="2">
        <f t="shared" ref="C3:C12" si="0">+(B3-B2)/B2</f>
        <v>-6.384065372829417E-3</v>
      </c>
      <c r="D3">
        <f t="shared" ref="D3:D12" si="1">(C3-$C$14)^2</f>
        <v>5.9135675635642013E-5</v>
      </c>
      <c r="F3">
        <v>101.6</v>
      </c>
      <c r="G3" s="2">
        <f t="shared" ref="G3:G12" si="2">+(F3-F2)/F2</f>
        <v>-5.8708414872799264E-3</v>
      </c>
      <c r="H3">
        <f t="shared" ref="H3:H12" si="3">(G3-$G$14)^2</f>
        <v>1.0851055019924118E-4</v>
      </c>
      <c r="L3" s="3">
        <f t="shared" ref="L3:L12" si="4">(C3-$C$14)</f>
        <v>-7.6899724079896419E-3</v>
      </c>
      <c r="M3" s="3">
        <f>G3-$G$14</f>
        <v>-1.0416839741459075E-2</v>
      </c>
      <c r="N3" s="4">
        <f t="shared" ref="N3:N12" si="5">L3*M3</f>
        <v>8.0105210190270238E-5</v>
      </c>
    </row>
    <row r="4" spans="1:14">
      <c r="A4">
        <v>4</v>
      </c>
      <c r="B4">
        <v>194.14</v>
      </c>
      <c r="C4" s="2">
        <f t="shared" si="0"/>
        <v>-2.1074273965562837E-3</v>
      </c>
      <c r="D4">
        <f t="shared" si="1"/>
        <v>1.1650851942741463E-5</v>
      </c>
      <c r="F4">
        <v>101.4</v>
      </c>
      <c r="G4" s="2">
        <f t="shared" si="2"/>
        <v>-1.9685039370077621E-3</v>
      </c>
      <c r="H4">
        <f t="shared" si="3"/>
        <v>4.2438738798979055E-5</v>
      </c>
      <c r="L4" s="3">
        <f t="shared" si="4"/>
        <v>-3.413334431716509E-3</v>
      </c>
      <c r="M4" s="3">
        <f>G4-$G$14</f>
        <v>-6.5145021911869102E-3</v>
      </c>
      <c r="N4" s="4">
        <f t="shared" si="5"/>
        <v>2.2236174634670926E-5</v>
      </c>
    </row>
    <row r="5" spans="1:14">
      <c r="A5">
        <v>5</v>
      </c>
      <c r="B5">
        <v>193.75</v>
      </c>
      <c r="C5" s="2">
        <f t="shared" si="0"/>
        <v>-2.0088595858657999E-3</v>
      </c>
      <c r="D5">
        <f t="shared" si="1"/>
        <v>1.0987677751868293E-5</v>
      </c>
      <c r="F5">
        <v>100.6</v>
      </c>
      <c r="G5" s="2">
        <f t="shared" si="2"/>
        <v>-7.889546351084924E-3</v>
      </c>
      <c r="H5">
        <f t="shared" si="3"/>
        <v>1.5464276962951236E-4</v>
      </c>
      <c r="L5" s="3">
        <f t="shared" si="4"/>
        <v>-3.3147666210260251E-3</v>
      </c>
      <c r="M5" s="3">
        <f t="shared" ref="M3:M12" si="6">G5-$G$14</f>
        <v>-1.2435544605264071E-2</v>
      </c>
      <c r="N5" s="4">
        <f t="shared" si="5"/>
        <v>4.1220928171809602E-5</v>
      </c>
    </row>
    <row r="6" spans="1:14">
      <c r="A6">
        <v>6</v>
      </c>
      <c r="B6">
        <v>195.11</v>
      </c>
      <c r="C6" s="2">
        <f t="shared" si="0"/>
        <v>7.0193548387097477E-3</v>
      </c>
      <c r="D6">
        <f t="shared" si="1"/>
        <v>3.2643485803884858E-5</v>
      </c>
      <c r="F6">
        <v>101.4</v>
      </c>
      <c r="G6" s="2">
        <f t="shared" si="2"/>
        <v>7.9522862823062767E-3</v>
      </c>
      <c r="H6">
        <f t="shared" si="3"/>
        <v>1.1602798130562202E-5</v>
      </c>
      <c r="L6" s="3">
        <f t="shared" si="4"/>
        <v>5.713447803549522E-3</v>
      </c>
      <c r="M6" s="3">
        <f t="shared" si="6"/>
        <v>3.4062880281271286E-3</v>
      </c>
      <c r="N6" s="4">
        <f t="shared" si="5"/>
        <v>1.9461648852559974E-5</v>
      </c>
    </row>
    <row r="7" spans="1:14">
      <c r="A7">
        <v>7</v>
      </c>
      <c r="B7">
        <v>196.35</v>
      </c>
      <c r="C7" s="2">
        <f t="shared" si="0"/>
        <v>6.3553892675925405E-3</v>
      </c>
      <c r="D7">
        <f t="shared" si="1"/>
        <v>2.5497270815649643E-5</v>
      </c>
      <c r="F7">
        <v>102.1</v>
      </c>
      <c r="G7" s="2">
        <f t="shared" si="2"/>
        <v>6.9033530571990988E-3</v>
      </c>
      <c r="H7">
        <f t="shared" si="3"/>
        <v>5.5571216673212309E-6</v>
      </c>
      <c r="L7" s="3">
        <f t="shared" si="4"/>
        <v>5.0494822324323157E-3</v>
      </c>
      <c r="M7" s="3">
        <f t="shared" si="6"/>
        <v>2.3573548030199508E-3</v>
      </c>
      <c r="N7" s="4">
        <f t="shared" si="5"/>
        <v>1.1903421193388223E-5</v>
      </c>
    </row>
    <row r="8" spans="1:14">
      <c r="A8">
        <v>8</v>
      </c>
      <c r="B8">
        <v>197</v>
      </c>
      <c r="C8" s="2">
        <f t="shared" si="0"/>
        <v>3.3104150751209864E-3</v>
      </c>
      <c r="D8">
        <f t="shared" si="1"/>
        <v>4.0180524822673328E-6</v>
      </c>
      <c r="F8">
        <v>103.6</v>
      </c>
      <c r="G8" s="2">
        <f t="shared" si="2"/>
        <v>1.4691478942213516E-2</v>
      </c>
      <c r="H8">
        <f t="shared" si="3"/>
        <v>1.0293077839127831E-4</v>
      </c>
      <c r="L8" s="3">
        <f t="shared" si="4"/>
        <v>2.0045080399607612E-3</v>
      </c>
      <c r="M8" s="3">
        <f t="shared" si="6"/>
        <v>1.0145480688034367E-2</v>
      </c>
      <c r="N8" s="4">
        <f t="shared" si="5"/>
        <v>2.0336697608431525E-5</v>
      </c>
    </row>
    <row r="9" spans="1:14">
      <c r="A9">
        <v>9</v>
      </c>
      <c r="B9">
        <v>197.3</v>
      </c>
      <c r="C9" s="2">
        <f t="shared" si="0"/>
        <v>1.5228426395939663E-3</v>
      </c>
      <c r="D9">
        <f t="shared" si="1"/>
        <v>4.7061056471032565E-8</v>
      </c>
      <c r="F9">
        <v>104.7</v>
      </c>
      <c r="G9" s="2">
        <f t="shared" si="2"/>
        <v>1.0617760617760701E-2</v>
      </c>
      <c r="H9">
        <f t="shared" si="3"/>
        <v>3.6866298199805441E-5</v>
      </c>
      <c r="L9" s="3">
        <f t="shared" si="4"/>
        <v>2.1693560443374104E-4</v>
      </c>
      <c r="M9" s="3">
        <f t="shared" si="6"/>
        <v>6.0717623635815525E-3</v>
      </c>
      <c r="N9" s="4">
        <f t="shared" si="5"/>
        <v>1.3171814383216043E-6</v>
      </c>
    </row>
    <row r="10" spans="1:14">
      <c r="A10">
        <v>10</v>
      </c>
      <c r="B10">
        <v>198</v>
      </c>
      <c r="C10" s="2">
        <f t="shared" si="0"/>
        <v>3.5478966041560494E-3</v>
      </c>
      <c r="D10">
        <f t="shared" si="1"/>
        <v>5.0265172274860817E-6</v>
      </c>
      <c r="F10">
        <v>105.8</v>
      </c>
      <c r="G10" s="2">
        <f t="shared" si="2"/>
        <v>1.0506208213944549E-2</v>
      </c>
      <c r="H10">
        <f t="shared" si="3"/>
        <v>3.5524102764486686E-5</v>
      </c>
      <c r="L10" s="3">
        <f t="shared" si="4"/>
        <v>2.2419895689958242E-3</v>
      </c>
      <c r="M10" s="3">
        <f t="shared" si="6"/>
        <v>5.960209959765401E-3</v>
      </c>
      <c r="N10" s="4">
        <f t="shared" si="5"/>
        <v>1.336272855881905E-5</v>
      </c>
    </row>
    <row r="11" spans="1:14">
      <c r="A11">
        <v>11</v>
      </c>
      <c r="B11">
        <v>198.2</v>
      </c>
      <c r="C11" s="2">
        <f t="shared" si="0"/>
        <v>1.0101010101009526E-3</v>
      </c>
      <c r="D11">
        <f t="shared" si="1"/>
        <v>8.750120446136701E-8</v>
      </c>
      <c r="F11">
        <v>106</v>
      </c>
      <c r="G11" s="2">
        <f t="shared" si="2"/>
        <v>1.8903591682419929E-3</v>
      </c>
      <c r="H11">
        <f t="shared" si="3"/>
        <v>7.0524189547571301E-6</v>
      </c>
      <c r="L11" s="3">
        <f t="shared" si="4"/>
        <v>-2.958060250592726E-4</v>
      </c>
      <c r="M11" s="3">
        <f t="shared" si="6"/>
        <v>-2.6556390859371554E-3</v>
      </c>
      <c r="N11" s="4">
        <f t="shared" si="5"/>
        <v>7.8555404200310998E-7</v>
      </c>
    </row>
    <row r="12" spans="1:14">
      <c r="A12">
        <v>12</v>
      </c>
      <c r="B12">
        <v>199</v>
      </c>
      <c r="C12" s="2">
        <f t="shared" si="0"/>
        <v>4.0363269424823984E-3</v>
      </c>
      <c r="D12">
        <f t="shared" si="1"/>
        <v>7.4551928703012244E-6</v>
      </c>
      <c r="F12">
        <v>107.5</v>
      </c>
      <c r="G12" s="2">
        <f t="shared" si="2"/>
        <v>1.4150943396226415E-2</v>
      </c>
      <c r="H12">
        <f t="shared" si="3"/>
        <v>9.2254971181737381E-5</v>
      </c>
      <c r="L12" s="3">
        <f t="shared" si="4"/>
        <v>2.7304199073221731E-3</v>
      </c>
      <c r="M12" s="3">
        <f>G12-$G$14</f>
        <v>9.6049451420472665E-3</v>
      </c>
      <c r="N12" s="4">
        <f t="shared" si="5"/>
        <v>2.6225533424583252E-5</v>
      </c>
    </row>
    <row r="13" spans="1:14">
      <c r="C13" s="2" t="s">
        <v>3</v>
      </c>
      <c r="D13" t="s">
        <v>4</v>
      </c>
      <c r="G13" s="2" t="s">
        <v>3</v>
      </c>
      <c r="H13" t="s">
        <v>4</v>
      </c>
      <c r="N13" s="4"/>
    </row>
    <row r="14" spans="1:14">
      <c r="C14" s="2">
        <f>AVERAGE(C2:C12)</f>
        <v>1.3059070351602252E-3</v>
      </c>
      <c r="D14" s="4">
        <f>AVERAGE(D2:D12)</f>
        <v>1.5187791909957159E-5</v>
      </c>
      <c r="G14" s="2">
        <f>AVERAGE(G2:G12)</f>
        <v>4.5459982541791481E-3</v>
      </c>
      <c r="H14">
        <f>SUM(H2:H12)/11</f>
        <v>5.7080888168898564E-5</v>
      </c>
      <c r="N14" s="4">
        <f>AVERAGE(N2:N12)</f>
        <v>2.3169755123132027E-5</v>
      </c>
    </row>
    <row r="16" spans="1:14">
      <c r="B16" s="3"/>
      <c r="C16" t="s">
        <v>5</v>
      </c>
      <c r="D16" s="6">
        <f>SQRT(D14)</f>
        <v>3.89715176891498E-3</v>
      </c>
      <c r="G16" t="s">
        <v>5</v>
      </c>
      <c r="H16" s="5">
        <f>SQRT(H14)</f>
        <v>7.5551894859691351E-3</v>
      </c>
      <c r="I16" s="1"/>
      <c r="J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EBE5C4808DA43A9869E2FB4CBAEE6" ma:contentTypeVersion="7" ma:contentTypeDescription="Crée un document." ma:contentTypeScope="" ma:versionID="ec721a2edeaa82f3477cdde480af55d6">
  <xsd:schema xmlns:xsd="http://www.w3.org/2001/XMLSchema" xmlns:xs="http://www.w3.org/2001/XMLSchema" xmlns:p="http://schemas.microsoft.com/office/2006/metadata/properties" xmlns:ns2="db156d11-c3e3-4b36-ab5f-95cf67435334" targetNamespace="http://schemas.microsoft.com/office/2006/metadata/properties" ma:root="true" ma:fieldsID="fd7344f9c87efa8fad3e8380aa9239b8" ns2:_="">
    <xsd:import namespace="db156d11-c3e3-4b36-ab5f-95cf674353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56d11-c3e3-4b36-ab5f-95cf674353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D3CEA7-F9E8-4555-B9F9-F8E329D4B1E9}"/>
</file>

<file path=customXml/itemProps2.xml><?xml version="1.0" encoding="utf-8"?>
<ds:datastoreItem xmlns:ds="http://schemas.openxmlformats.org/officeDocument/2006/customXml" ds:itemID="{AFD03132-6B24-425C-B5EA-396799E56982}"/>
</file>

<file path=customXml/itemProps3.xml><?xml version="1.0" encoding="utf-8"?>
<ds:datastoreItem xmlns:ds="http://schemas.openxmlformats.org/officeDocument/2006/customXml" ds:itemID="{EF2032B8-3B70-4977-83B1-C161662AF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Ogec La Joliverie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HAMANN Xavier</dc:creator>
  <cp:keywords/>
  <dc:description/>
  <cp:lastModifiedBy>JASNOT Eloïse</cp:lastModifiedBy>
  <cp:revision/>
  <dcterms:created xsi:type="dcterms:W3CDTF">2022-06-29T08:54:36Z</dcterms:created>
  <dcterms:modified xsi:type="dcterms:W3CDTF">2026-06-11T19:09:54Z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0x0101009CDEBE5C4808DA43A9869E2FB4CBAEE6</vt:lpwstr>
  </property>
</Properties>
</file>