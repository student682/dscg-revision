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joliverie-my.sharepoint.com/personal/fboursier_la-joliverie_com/Documents/Cours/DSCG_gestion fiscale/"/>
    </mc:Choice>
  </mc:AlternateContent>
  <xr:revisionPtr revIDLastSave="0" documentId="14_{18B48C4D-01E9-45FA-BA0B-FB54A58A582F}" xr6:coauthVersionLast="47" xr6:coauthVersionMax="47" xr10:uidLastSave="{00000000-0000-0000-0000-000000000000}"/>
  <bookViews>
    <workbookView xWindow="0" yWindow="0" windowWidth="19170" windowHeight="6195" xr2:uid="{00000000-000D-0000-FFFF-FFFF00000000}"/>
  </bookViews>
  <sheets>
    <sheet name="IF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3" l="1"/>
  <c r="G85" i="3" s="1"/>
  <c r="E69" i="3"/>
  <c r="G68" i="3"/>
  <c r="G70" i="3" s="1"/>
  <c r="G76" i="3" s="1"/>
  <c r="F68" i="3"/>
  <c r="F70" i="3" s="1"/>
  <c r="F76" i="3" s="1"/>
  <c r="F78" i="3" s="1"/>
  <c r="E68" i="3"/>
  <c r="D68" i="3"/>
  <c r="D70" i="3" s="1"/>
  <c r="D76" i="3" s="1"/>
  <c r="G58" i="3"/>
  <c r="D45" i="3"/>
  <c r="I49" i="3" s="1"/>
  <c r="G42" i="3"/>
  <c r="G51" i="3" s="1"/>
  <c r="G52" i="3" s="1"/>
  <c r="F42" i="3"/>
  <c r="F51" i="3" s="1"/>
  <c r="F52" i="3" s="1"/>
  <c r="D42" i="3"/>
  <c r="D51" i="3" s="1"/>
  <c r="E41" i="3"/>
  <c r="E42" i="3" s="1"/>
  <c r="E51" i="3" s="1"/>
  <c r="E55" i="3" s="1"/>
  <c r="E70" i="3" l="1"/>
  <c r="E76" i="3" s="1"/>
  <c r="H76" i="3" s="1"/>
  <c r="F55" i="3"/>
  <c r="F60" i="3" s="1"/>
  <c r="D55" i="3"/>
  <c r="D60" i="3" s="1"/>
  <c r="G55" i="3"/>
  <c r="G60" i="3" s="1"/>
  <c r="H52" i="3"/>
  <c r="F81" i="3"/>
  <c r="F85" i="3" s="1"/>
  <c r="D81" i="3"/>
  <c r="D85" i="3" s="1"/>
  <c r="D78" i="3"/>
  <c r="E60" i="3"/>
  <c r="E81" i="3" l="1"/>
  <c r="E85" i="3" s="1"/>
  <c r="E87" i="3" s="1"/>
  <c r="E78" i="3"/>
  <c r="H78" i="3" s="1"/>
  <c r="E62" i="3"/>
  <c r="F88" i="3" s="1"/>
  <c r="F89" i="3" l="1"/>
  <c r="F90" i="3" s="1"/>
</calcChain>
</file>

<file path=xl/sharedStrings.xml><?xml version="1.0" encoding="utf-8"?>
<sst xmlns="http://schemas.openxmlformats.org/spreadsheetml/2006/main" count="110" uniqueCount="77">
  <si>
    <t>Soit le groupe d'intégration fiscale composé de M, A, B et C :</t>
  </si>
  <si>
    <r>
      <t>1 - calculer le résultat d'IF et l'IS groupe au</t>
    </r>
    <r>
      <rPr>
        <b/>
        <u/>
        <sz val="16"/>
        <color theme="1"/>
        <rFont val="Calibri"/>
        <family val="2"/>
        <scheme val="minor"/>
      </rPr>
      <t xml:space="preserve"> 31/12/N</t>
    </r>
    <r>
      <rPr>
        <b/>
        <sz val="16"/>
        <color theme="1"/>
        <rFont val="Calibri"/>
        <family val="2"/>
        <scheme val="minor"/>
      </rPr>
      <t xml:space="preserve"> de M+A+B+C, en prenant en compte les éléments suivants :</t>
    </r>
  </si>
  <si>
    <t>Toutes les sociétés clôturent leurs comptes au 31/12</t>
  </si>
  <si>
    <t>Aucune société n'a de déficits reportables individuellement.</t>
  </si>
  <si>
    <t>Le groupe d'IF a été constitué en N-1 et s'était traduit par un bénéfice global.</t>
  </si>
  <si>
    <t>Par simplification, on retiendra un taux d'IS de 25%.</t>
  </si>
  <si>
    <t>M détient 100% des sociétés A, B et C</t>
  </si>
  <si>
    <t>a)</t>
  </si>
  <si>
    <t>Résultats comptables provisoires au 31/12/N :</t>
  </si>
  <si>
    <t>Bénéfices M</t>
  </si>
  <si>
    <t>Déficit A</t>
  </si>
  <si>
    <t>Bénéfices B</t>
  </si>
  <si>
    <t>Bénéfices C</t>
  </si>
  <si>
    <t>b)</t>
  </si>
  <si>
    <t>La société A n'a plus d'activité en N : elle continue de rembourser son dernier emprunt, source de son déficit.</t>
  </si>
  <si>
    <t>Pour aider sa filiale, une convention a été passée entre M et A, qui prévoit le versement annuel par M</t>
  </si>
  <si>
    <t>d'une subvention d'équilibre pour couvrir la perte de A. Cette subvention n'est pas encore enregistrée.</t>
  </si>
  <si>
    <t>c)</t>
  </si>
  <si>
    <t>B a versé 14 M€ de dividendes à M le 31/07/N (déjà comptabilisés).</t>
  </si>
  <si>
    <t>d)</t>
  </si>
  <si>
    <t>M a déprécié les titres de A à 100%, soit 25 000 €  (déjà comptabilisé au 31/12/N).</t>
  </si>
  <si>
    <t>e)</t>
  </si>
  <si>
    <t>B a cédé une machine à C pour 100 K€ le 01/01/N. Elle était inscrite dans les comptes de B pour VNC = 75 K€.</t>
  </si>
  <si>
    <t>C décide d'amortir cette machine sur 7 ans (déjà comptabilisé).</t>
  </si>
  <si>
    <r>
      <t xml:space="preserve">2 - calculer le résultat d'IF et l'IS groupe au </t>
    </r>
    <r>
      <rPr>
        <b/>
        <u/>
        <sz val="16"/>
        <color theme="1"/>
        <rFont val="Calibri"/>
        <family val="2"/>
        <scheme val="minor"/>
      </rPr>
      <t>31/12/N+1</t>
    </r>
    <r>
      <rPr>
        <b/>
        <sz val="16"/>
        <color theme="1"/>
        <rFont val="Calibri"/>
        <family val="2"/>
        <scheme val="minor"/>
      </rPr>
      <t xml:space="preserve"> de M+A+B+C, en prenant en compte les éléments suivants :</t>
    </r>
  </si>
  <si>
    <t>f)</t>
  </si>
  <si>
    <t>Résultats comptables provisoires au 31/12/N+1 :</t>
  </si>
  <si>
    <t>g)</t>
  </si>
  <si>
    <t>M cède 10% des actions de C au cours de l'exercice.</t>
  </si>
  <si>
    <t>CORRIGE</t>
  </si>
  <si>
    <t>QUESTION 1</t>
  </si>
  <si>
    <t>M</t>
  </si>
  <si>
    <t>A</t>
  </si>
  <si>
    <t>B</t>
  </si>
  <si>
    <t>C</t>
  </si>
  <si>
    <t>Remarques</t>
  </si>
  <si>
    <t>R. COMPTABLE N</t>
  </si>
  <si>
    <t>Subvention équilibre</t>
  </si>
  <si>
    <t>I</t>
  </si>
  <si>
    <t>R. COMPTABLE DEFINITIF</t>
  </si>
  <si>
    <t>reintegrations</t>
  </si>
  <si>
    <r>
      <t xml:space="preserve">QP </t>
    </r>
    <r>
      <rPr>
        <b/>
        <sz val="16"/>
        <color rgb="FFFF0000"/>
        <rFont val="Calibri"/>
        <family val="2"/>
        <scheme val="minor"/>
      </rPr>
      <t>1%</t>
    </r>
    <r>
      <rPr>
        <sz val="16"/>
        <color theme="1"/>
        <rFont val="Calibri"/>
        <family val="2"/>
        <scheme val="minor"/>
      </rPr>
      <t xml:space="preserve"> régime mère fille en IF</t>
    </r>
  </si>
  <si>
    <t>Neutralisation dép titres A : LT</t>
  </si>
  <si>
    <t>Déductions</t>
  </si>
  <si>
    <t>Dividendes régime mère fille</t>
  </si>
  <si>
    <t>ou</t>
  </si>
  <si>
    <t>II</t>
  </si>
  <si>
    <t>RESULTAT FISCAL individuel N</t>
  </si>
  <si>
    <t>IS théorique individuel 25%</t>
  </si>
  <si>
    <t>III</t>
  </si>
  <si>
    <t>INTEGRATION FISCALE N</t>
  </si>
  <si>
    <t>Report R. fiscal individuel</t>
  </si>
  <si>
    <t>Subvention directe</t>
  </si>
  <si>
    <t>rien à faire</t>
  </si>
  <si>
    <t>Neutralisation PV s/machine</t>
  </si>
  <si>
    <t>Neutralisation surplus dot. Amortissement</t>
  </si>
  <si>
    <t>(25000/7)</t>
  </si>
  <si>
    <t>Neutralisation dividendes</t>
  </si>
  <si>
    <t>R. retraité</t>
  </si>
  <si>
    <t>Résultat groupe N</t>
  </si>
  <si>
    <t>IS groupe :</t>
  </si>
  <si>
    <t>QUESTION 2</t>
  </si>
  <si>
    <t>Sortie de C de l'IF en N+1</t>
  </si>
  <si>
    <t>R. COMPTABLE N+1</t>
  </si>
  <si>
    <t>R. COMPTABLE DEFINITIF N+1</t>
  </si>
  <si>
    <t>RESULTAT FISCAL individuel N+1</t>
  </si>
  <si>
    <t xml:space="preserve">imputation déficits reportables </t>
  </si>
  <si>
    <t>INTEGRATION FISCALE N+1</t>
  </si>
  <si>
    <t>Report R. fiscal individuel N+1</t>
  </si>
  <si>
    <t>C est sortie de l'IF</t>
  </si>
  <si>
    <t>Neutralisation surplus DAP/machine cédée</t>
  </si>
  <si>
    <t>tableau 2058 ES</t>
  </si>
  <si>
    <t>Neutralisation des amort restants :( 25000x6/7)</t>
  </si>
  <si>
    <t>Résultat groupe N+1</t>
  </si>
  <si>
    <t>Déficit reportable groupe</t>
  </si>
  <si>
    <t>Déficit groupe issu de N</t>
  </si>
  <si>
    <t>Résultat groupe avant IS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</si>
</sst>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6"/>
      <color rgb="FF0000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i/>
      <sz val="16"/>
      <color theme="9" tint="-0.249977111117893"/>
      <name val="Calibri"/>
      <family val="2"/>
      <scheme val="minor"/>
    </font>
    <font>
      <b/>
      <i/>
      <sz val="16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3" fontId="2" fillId="0" borderId="0" xfId="1" applyNumberFormat="1" applyFont="1"/>
    <xf numFmtId="0" fontId="3" fillId="0" borderId="2" xfId="0" applyFont="1" applyBorder="1"/>
    <xf numFmtId="165" fontId="3" fillId="0" borderId="1" xfId="1" applyNumberFormat="1" applyFont="1" applyBorder="1"/>
    <xf numFmtId="3" fontId="3" fillId="0" borderId="1" xfId="1" applyNumberFormat="1" applyFont="1" applyBorder="1"/>
    <xf numFmtId="165" fontId="3" fillId="0" borderId="0" xfId="1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165" fontId="6" fillId="0" borderId="0" xfId="1" applyNumberFormat="1" applyFont="1"/>
    <xf numFmtId="3" fontId="2" fillId="0" borderId="0" xfId="0" applyNumberFormat="1" applyFont="1"/>
    <xf numFmtId="0" fontId="7" fillId="0" borderId="0" xfId="0" applyFont="1"/>
    <xf numFmtId="3" fontId="2" fillId="4" borderId="0" xfId="1" applyNumberFormat="1" applyFont="1" applyFill="1"/>
    <xf numFmtId="3" fontId="8" fillId="4" borderId="0" xfId="1" applyNumberFormat="1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3" fontId="2" fillId="0" borderId="0" xfId="1" applyNumberFormat="1" applyFont="1" applyAlignment="1">
      <alignment vertical="center"/>
    </xf>
    <xf numFmtId="3" fontId="3" fillId="0" borderId="2" xfId="0" applyNumberFormat="1" applyFont="1" applyBorder="1"/>
    <xf numFmtId="0" fontId="9" fillId="0" borderId="0" xfId="0" applyFont="1"/>
    <xf numFmtId="165" fontId="9" fillId="0" borderId="0" xfId="1" applyNumberFormat="1" applyFont="1"/>
    <xf numFmtId="3" fontId="9" fillId="0" borderId="0" xfId="1" applyNumberFormat="1" applyFont="1"/>
    <xf numFmtId="165" fontId="10" fillId="3" borderId="0" xfId="1" applyNumberFormat="1" applyFont="1" applyFill="1" applyBorder="1"/>
    <xf numFmtId="3" fontId="10" fillId="3" borderId="2" xfId="0" applyNumberFormat="1" applyFont="1" applyFill="1" applyBorder="1"/>
    <xf numFmtId="0" fontId="2" fillId="0" borderId="0" xfId="0" applyFont="1" applyAlignment="1">
      <alignment horizontal="right"/>
    </xf>
    <xf numFmtId="3" fontId="11" fillId="0" borderId="1" xfId="1" applyNumberFormat="1" applyFont="1" applyBorder="1"/>
    <xf numFmtId="0" fontId="12" fillId="0" borderId="0" xfId="0" applyFont="1"/>
    <xf numFmtId="165" fontId="3" fillId="6" borderId="0" xfId="1" applyNumberFormat="1" applyFont="1" applyFill="1" applyAlignment="1">
      <alignment horizontal="center"/>
    </xf>
    <xf numFmtId="3" fontId="2" fillId="6" borderId="0" xfId="1" applyNumberFormat="1" applyFont="1" applyFill="1"/>
    <xf numFmtId="165" fontId="3" fillId="6" borderId="1" xfId="1" applyNumberFormat="1" applyFont="1" applyFill="1" applyBorder="1"/>
    <xf numFmtId="165" fontId="2" fillId="6" borderId="0" xfId="1" applyNumberFormat="1" applyFont="1" applyFill="1"/>
    <xf numFmtId="165" fontId="10" fillId="6" borderId="0" xfId="1" applyNumberFormat="1" applyFont="1" applyFill="1" applyBorder="1"/>
    <xf numFmtId="0" fontId="2" fillId="6" borderId="0" xfId="0" applyFont="1" applyFill="1"/>
    <xf numFmtId="3" fontId="12" fillId="0" borderId="0" xfId="1" applyNumberFormat="1" applyFont="1"/>
    <xf numFmtId="3" fontId="11" fillId="0" borderId="0" xfId="1" applyNumberFormat="1" applyFont="1"/>
    <xf numFmtId="0" fontId="13" fillId="3" borderId="0" xfId="0" applyFont="1" applyFill="1"/>
    <xf numFmtId="3" fontId="13" fillId="3" borderId="0" xfId="1" applyNumberFormat="1" applyFont="1" applyFill="1"/>
    <xf numFmtId="3" fontId="14" fillId="3" borderId="2" xfId="0" applyNumberFormat="1" applyFont="1" applyFill="1" applyBorder="1"/>
    <xf numFmtId="0" fontId="15" fillId="3" borderId="0" xfId="0" applyFont="1" applyFill="1"/>
    <xf numFmtId="0" fontId="16" fillId="3" borderId="0" xfId="0" applyFont="1" applyFill="1"/>
    <xf numFmtId="165" fontId="15" fillId="3" borderId="0" xfId="1" applyNumberFormat="1" applyFont="1" applyFill="1" applyBorder="1"/>
    <xf numFmtId="165" fontId="15" fillId="3" borderId="0" xfId="1" applyNumberFormat="1" applyFont="1" applyFill="1"/>
    <xf numFmtId="165" fontId="15" fillId="6" borderId="0" xfId="1" applyNumberFormat="1" applyFont="1" applyFill="1"/>
    <xf numFmtId="3" fontId="16" fillId="3" borderId="2" xfId="0" applyNumberFormat="1" applyFont="1" applyFill="1" applyBorder="1"/>
    <xf numFmtId="3" fontId="12" fillId="5" borderId="0" xfId="1" applyNumberFormat="1" applyFont="1" applyFill="1"/>
    <xf numFmtId="165" fontId="5" fillId="6" borderId="0" xfId="1" applyNumberFormat="1" applyFont="1" applyFill="1" applyAlignment="1">
      <alignment horizontal="center" vertical="center" wrapText="1"/>
    </xf>
    <xf numFmtId="3" fontId="11" fillId="0" borderId="0" xfId="1" applyNumberFormat="1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3" fontId="3" fillId="0" borderId="0" xfId="1" applyNumberFormat="1" applyFont="1" applyAlignment="1">
      <alignment horizontal="center"/>
    </xf>
    <xf numFmtId="3" fontId="2" fillId="5" borderId="0" xfId="1" applyNumberFormat="1" applyFont="1" applyFill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colors>
    <mruColors>
      <color rgb="FF0000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60</xdr:row>
      <xdr:rowOff>38100</xdr:rowOff>
    </xdr:from>
    <xdr:to>
      <xdr:col>6</xdr:col>
      <xdr:colOff>885825</xdr:colOff>
      <xdr:row>61</xdr:row>
      <xdr:rowOff>47628</xdr:rowOff>
    </xdr:to>
    <xdr:sp macro="" textlink="">
      <xdr:nvSpPr>
        <xdr:cNvPr id="6" name="Accolade fermant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5400000">
          <a:off x="5186361" y="18311814"/>
          <a:ext cx="276228" cy="4095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3</xdr:col>
      <xdr:colOff>142875</xdr:colOff>
      <xdr:row>84</xdr:row>
      <xdr:rowOff>261938</xdr:rowOff>
    </xdr:from>
    <xdr:to>
      <xdr:col>6</xdr:col>
      <xdr:colOff>1019175</xdr:colOff>
      <xdr:row>86</xdr:row>
      <xdr:rowOff>17463</xdr:rowOff>
    </xdr:to>
    <xdr:sp macro="" textlink="">
      <xdr:nvSpPr>
        <xdr:cNvPr id="7" name="Accolade fermant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>
          <a:off x="5572919" y="23454520"/>
          <a:ext cx="295275" cy="4090987"/>
        </a:xfrm>
        <a:prstGeom prst="rightBrace">
          <a:avLst>
            <a:gd name="adj1" fmla="val 8333"/>
            <a:gd name="adj2" fmla="val 44567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6</xdr:col>
      <xdr:colOff>9525</xdr:colOff>
      <xdr:row>78</xdr:row>
      <xdr:rowOff>0</xdr:rowOff>
    </xdr:from>
    <xdr:to>
      <xdr:col>7</xdr:col>
      <xdr:colOff>781050</xdr:colOff>
      <xdr:row>89</xdr:row>
      <xdr:rowOff>28575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6496050" y="24879300"/>
          <a:ext cx="1971675" cy="2962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51</xdr:row>
      <xdr:rowOff>257175</xdr:rowOff>
    </xdr:from>
    <xdr:to>
      <xdr:col>7</xdr:col>
      <xdr:colOff>657225</xdr:colOff>
      <xdr:row>62</xdr:row>
      <xdr:rowOff>133350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5686425" y="17773650"/>
          <a:ext cx="2657475" cy="3076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topLeftCell="A37" zoomScale="120" zoomScaleNormal="120" workbookViewId="0">
      <pane ySplit="3" topLeftCell="A61" activePane="bottomLeft" state="frozen"/>
      <selection pane="bottomLeft" activeCell="E80" sqref="E80"/>
      <selection activeCell="A37" sqref="A37"/>
    </sheetView>
  </sheetViews>
  <sheetFormatPr defaultColWidth="11.42578125" defaultRowHeight="21"/>
  <cols>
    <col min="1" max="1" width="5" style="1" customWidth="1"/>
    <col min="2" max="2" width="44.28515625" style="1" customWidth="1"/>
    <col min="3" max="3" width="3.7109375" style="1" customWidth="1"/>
    <col min="4" max="4" width="18" style="2" bestFit="1" customWidth="1"/>
    <col min="5" max="5" width="12.28515625" style="2" bestFit="1" customWidth="1"/>
    <col min="6" max="7" width="18" style="2" bestFit="1" customWidth="1"/>
    <col min="8" max="8" width="22.7109375" style="1" bestFit="1" customWidth="1"/>
    <col min="9" max="9" width="16.140625" style="1" bestFit="1" customWidth="1"/>
    <col min="10" max="10" width="19" style="1" customWidth="1"/>
    <col min="11" max="16384" width="11.42578125" style="1"/>
  </cols>
  <sheetData>
    <row r="1" spans="1:9" ht="25.5" customHeight="1">
      <c r="B1" s="1" t="s">
        <v>0</v>
      </c>
    </row>
    <row r="2" spans="1:9" ht="25.5" customHeight="1"/>
    <row r="3" spans="1:9" ht="58.5" customHeight="1">
      <c r="B3" s="51" t="s">
        <v>1</v>
      </c>
      <c r="C3" s="51"/>
      <c r="D3" s="51"/>
      <c r="E3" s="51"/>
      <c r="F3" s="51"/>
      <c r="G3" s="51"/>
      <c r="H3" s="51"/>
      <c r="I3" s="3"/>
    </row>
    <row r="4" spans="1:9" ht="25.5" customHeight="1">
      <c r="B4" s="1" t="s">
        <v>2</v>
      </c>
    </row>
    <row r="5" spans="1:9" ht="25.5" customHeight="1">
      <c r="B5" s="1" t="s">
        <v>3</v>
      </c>
    </row>
    <row r="6" spans="1:9" ht="25.5" customHeight="1">
      <c r="B6" s="1" t="s">
        <v>4</v>
      </c>
    </row>
    <row r="7" spans="1:9" ht="25.5" customHeight="1">
      <c r="B7" s="1" t="s">
        <v>5</v>
      </c>
    </row>
    <row r="8" spans="1:9" ht="25.5" customHeight="1">
      <c r="B8" s="1" t="s">
        <v>6</v>
      </c>
    </row>
    <row r="9" spans="1:9" ht="25.5" customHeight="1"/>
    <row r="10" spans="1:9" ht="25.5" customHeight="1">
      <c r="A10" s="1" t="s">
        <v>7</v>
      </c>
      <c r="B10" s="1" t="s">
        <v>8</v>
      </c>
    </row>
    <row r="11" spans="1:9" ht="25.5" customHeight="1">
      <c r="B11" s="1" t="s">
        <v>9</v>
      </c>
      <c r="D11" s="2">
        <v>6000000</v>
      </c>
    </row>
    <row r="12" spans="1:9" ht="25.5" customHeight="1">
      <c r="B12" s="1" t="s">
        <v>10</v>
      </c>
      <c r="D12" s="2">
        <v>-56000</v>
      </c>
    </row>
    <row r="13" spans="1:9" ht="25.5" customHeight="1">
      <c r="B13" s="1" t="s">
        <v>11</v>
      </c>
      <c r="D13" s="2">
        <v>5700000</v>
      </c>
    </row>
    <row r="14" spans="1:9" ht="25.5" customHeight="1">
      <c r="B14" s="1" t="s">
        <v>12</v>
      </c>
      <c r="D14" s="2">
        <v>1000000</v>
      </c>
    </row>
    <row r="15" spans="1:9" ht="25.5" customHeight="1"/>
    <row r="16" spans="1:9" ht="42" customHeight="1">
      <c r="A16" s="19" t="s">
        <v>13</v>
      </c>
      <c r="B16" s="52" t="s">
        <v>14</v>
      </c>
      <c r="C16" s="52"/>
      <c r="D16" s="52"/>
      <c r="E16" s="52"/>
      <c r="F16" s="52"/>
      <c r="G16" s="52"/>
      <c r="H16" s="52"/>
    </row>
    <row r="17" spans="1:9" ht="25.5" customHeight="1">
      <c r="B17" s="1" t="s">
        <v>15</v>
      </c>
    </row>
    <row r="18" spans="1:9" ht="25.5" customHeight="1">
      <c r="B18" s="1" t="s">
        <v>16</v>
      </c>
    </row>
    <row r="19" spans="1:9" ht="25.5" customHeight="1">
      <c r="A19" s="1" t="s">
        <v>17</v>
      </c>
      <c r="B19" s="1" t="s">
        <v>18</v>
      </c>
    </row>
    <row r="20" spans="1:9" ht="25.5" customHeight="1">
      <c r="A20" s="1" t="s">
        <v>19</v>
      </c>
      <c r="B20" s="1" t="s">
        <v>20</v>
      </c>
    </row>
    <row r="21" spans="1:9" ht="45.75" customHeight="1">
      <c r="A21" s="1" t="s">
        <v>21</v>
      </c>
      <c r="B21" s="52" t="s">
        <v>22</v>
      </c>
      <c r="C21" s="52"/>
      <c r="D21" s="52"/>
      <c r="E21" s="52"/>
      <c r="F21" s="52"/>
      <c r="G21" s="52"/>
      <c r="H21" s="52"/>
    </row>
    <row r="22" spans="1:9" ht="25.5" customHeight="1">
      <c r="B22" s="1" t="s">
        <v>23</v>
      </c>
    </row>
    <row r="23" spans="1:9" ht="25.5" customHeight="1"/>
    <row r="24" spans="1:9" ht="53.25" customHeight="1">
      <c r="B24" s="51" t="s">
        <v>24</v>
      </c>
      <c r="C24" s="51"/>
      <c r="D24" s="51"/>
      <c r="E24" s="51"/>
      <c r="F24" s="51"/>
      <c r="G24" s="51"/>
      <c r="H24" s="51"/>
      <c r="I24" s="3"/>
    </row>
    <row r="25" spans="1:9" ht="25.5" customHeight="1"/>
    <row r="26" spans="1:9" ht="25.5" customHeight="1">
      <c r="A26" s="1" t="s">
        <v>25</v>
      </c>
      <c r="B26" s="1" t="s">
        <v>26</v>
      </c>
    </row>
    <row r="27" spans="1:9" ht="25.5" customHeight="1">
      <c r="B27" s="1" t="s">
        <v>9</v>
      </c>
      <c r="D27" s="2">
        <v>1000000</v>
      </c>
    </row>
    <row r="28" spans="1:9" ht="25.5" customHeight="1">
      <c r="B28" s="1" t="s">
        <v>10</v>
      </c>
      <c r="D28" s="2">
        <v>-6000</v>
      </c>
    </row>
    <row r="29" spans="1:9" ht="25.5" customHeight="1">
      <c r="B29" s="1" t="s">
        <v>11</v>
      </c>
      <c r="D29" s="2">
        <v>850000</v>
      </c>
    </row>
    <row r="30" spans="1:9" ht="25.5" customHeight="1">
      <c r="B30" s="1" t="s">
        <v>12</v>
      </c>
      <c r="D30" s="2">
        <v>32000</v>
      </c>
    </row>
    <row r="31" spans="1:9" ht="25.5" customHeight="1"/>
    <row r="32" spans="1:9" ht="25.5" customHeight="1">
      <c r="A32" s="1" t="s">
        <v>27</v>
      </c>
      <c r="B32" s="1" t="s">
        <v>28</v>
      </c>
    </row>
    <row r="36" spans="1:9" ht="23.25">
      <c r="E36" s="14" t="s">
        <v>29</v>
      </c>
    </row>
    <row r="38" spans="1:9">
      <c r="B38" s="4" t="s">
        <v>30</v>
      </c>
    </row>
    <row r="39" spans="1:9" s="5" customFormat="1">
      <c r="D39" s="6" t="s">
        <v>31</v>
      </c>
      <c r="E39" s="6" t="s">
        <v>32</v>
      </c>
      <c r="F39" s="6" t="s">
        <v>33</v>
      </c>
      <c r="G39" s="6" t="s">
        <v>34</v>
      </c>
      <c r="I39" s="5" t="s">
        <v>35</v>
      </c>
    </row>
    <row r="40" spans="1:9">
      <c r="A40" s="1" t="s">
        <v>7</v>
      </c>
      <c r="B40" s="1" t="s">
        <v>36</v>
      </c>
      <c r="D40" s="7">
        <v>6000000</v>
      </c>
      <c r="E40" s="7">
        <v>-56000</v>
      </c>
      <c r="F40" s="7">
        <v>5700000</v>
      </c>
      <c r="G40" s="7">
        <v>1000000</v>
      </c>
    </row>
    <row r="41" spans="1:9">
      <c r="A41" s="1" t="s">
        <v>13</v>
      </c>
      <c r="B41" s="1" t="s">
        <v>37</v>
      </c>
      <c r="D41" s="7">
        <v>-56000</v>
      </c>
      <c r="E41" s="7">
        <f>-D41</f>
        <v>56000</v>
      </c>
      <c r="F41" s="7"/>
      <c r="G41" s="7"/>
    </row>
    <row r="42" spans="1:9" s="3" customFormat="1">
      <c r="A42" s="5" t="s">
        <v>38</v>
      </c>
      <c r="B42" s="8" t="s">
        <v>39</v>
      </c>
      <c r="D42" s="9">
        <f>SUM(D40:D41)</f>
        <v>5944000</v>
      </c>
      <c r="E42" s="9">
        <f t="shared" ref="E42:G42" si="0">SUM(E40:E41)</f>
        <v>0</v>
      </c>
      <c r="F42" s="9">
        <f t="shared" si="0"/>
        <v>5700000</v>
      </c>
      <c r="G42" s="9">
        <f t="shared" si="0"/>
        <v>1000000</v>
      </c>
    </row>
    <row r="43" spans="1:9" ht="9.75" customHeight="1"/>
    <row r="44" spans="1:9">
      <c r="B44" s="3" t="s">
        <v>40</v>
      </c>
    </row>
    <row r="45" spans="1:9">
      <c r="A45" s="1" t="s">
        <v>17</v>
      </c>
      <c r="B45" s="1" t="s">
        <v>41</v>
      </c>
      <c r="D45" s="17">
        <f>-0.01*D49</f>
        <v>140000</v>
      </c>
      <c r="E45" s="7"/>
      <c r="F45" s="7"/>
      <c r="G45" s="7"/>
    </row>
    <row r="46" spans="1:9">
      <c r="A46" s="1" t="s">
        <v>19</v>
      </c>
      <c r="B46" s="1" t="s">
        <v>42</v>
      </c>
      <c r="D46" s="7">
        <v>25000</v>
      </c>
      <c r="E46" s="7"/>
      <c r="F46" s="7"/>
      <c r="G46" s="7"/>
    </row>
    <row r="47" spans="1:9" ht="8.25" customHeight="1">
      <c r="D47" s="7"/>
      <c r="E47" s="7"/>
      <c r="F47" s="7"/>
      <c r="G47" s="7"/>
    </row>
    <row r="48" spans="1:9">
      <c r="B48" s="3" t="s">
        <v>43</v>
      </c>
      <c r="D48" s="7"/>
      <c r="E48" s="7"/>
      <c r="F48" s="7"/>
      <c r="G48" s="7"/>
    </row>
    <row r="49" spans="1:9">
      <c r="A49" s="1" t="s">
        <v>17</v>
      </c>
      <c r="B49" s="1" t="s">
        <v>44</v>
      </c>
      <c r="D49" s="17">
        <v>-14000000</v>
      </c>
      <c r="E49" s="7"/>
      <c r="F49" s="7"/>
      <c r="G49" s="7"/>
      <c r="H49" s="28" t="s">
        <v>45</v>
      </c>
      <c r="I49" s="15">
        <f>+D49+D45</f>
        <v>-13860000</v>
      </c>
    </row>
    <row r="50" spans="1:9" ht="7.5" customHeight="1"/>
    <row r="51" spans="1:9" s="3" customFormat="1">
      <c r="A51" s="5" t="s">
        <v>46</v>
      </c>
      <c r="B51" s="8" t="s">
        <v>47</v>
      </c>
      <c r="D51" s="10">
        <f>D42+D45+D46+D49</f>
        <v>-7891000</v>
      </c>
      <c r="E51" s="10">
        <f t="shared" ref="E51:G51" si="1">SUM(E42:E50)</f>
        <v>0</v>
      </c>
      <c r="F51" s="10">
        <f t="shared" si="1"/>
        <v>5700000</v>
      </c>
      <c r="G51" s="10">
        <f t="shared" si="1"/>
        <v>1000000</v>
      </c>
    </row>
    <row r="52" spans="1:9">
      <c r="B52" s="39" t="s">
        <v>48</v>
      </c>
      <c r="C52" s="39"/>
      <c r="D52" s="40"/>
      <c r="E52" s="40"/>
      <c r="F52" s="40">
        <f>F51*0.25</f>
        <v>1425000</v>
      </c>
      <c r="G52" s="40">
        <f>G51*0.25</f>
        <v>250000</v>
      </c>
      <c r="H52" s="41">
        <f>SUM(D52:G52)</f>
        <v>1675000</v>
      </c>
    </row>
    <row r="54" spans="1:9">
      <c r="A54" s="5" t="s">
        <v>49</v>
      </c>
      <c r="B54" s="8" t="s">
        <v>50</v>
      </c>
    </row>
    <row r="55" spans="1:9">
      <c r="B55" s="23" t="s">
        <v>51</v>
      </c>
      <c r="C55" s="23"/>
      <c r="D55" s="25">
        <f>D51</f>
        <v>-7891000</v>
      </c>
      <c r="E55" s="25">
        <f t="shared" ref="E55:G55" si="2">E51</f>
        <v>0</v>
      </c>
      <c r="F55" s="25">
        <f t="shared" si="2"/>
        <v>5700000</v>
      </c>
      <c r="G55" s="25">
        <f t="shared" si="2"/>
        <v>1000000</v>
      </c>
    </row>
    <row r="56" spans="1:9">
      <c r="A56" s="1" t="s">
        <v>13</v>
      </c>
      <c r="B56" s="1" t="s">
        <v>52</v>
      </c>
      <c r="D56" s="18" t="s">
        <v>53</v>
      </c>
      <c r="E56" s="7"/>
      <c r="F56" s="7"/>
      <c r="G56" s="7"/>
    </row>
    <row r="57" spans="1:9">
      <c r="A57" s="1" t="s">
        <v>21</v>
      </c>
      <c r="B57" s="1" t="s">
        <v>54</v>
      </c>
      <c r="D57" s="7"/>
      <c r="E57" s="7"/>
      <c r="F57" s="7">
        <v>-25000</v>
      </c>
      <c r="G57" s="7"/>
    </row>
    <row r="58" spans="1:9" s="19" customFormat="1" ht="42">
      <c r="A58" s="19" t="s">
        <v>21</v>
      </c>
      <c r="B58" s="20" t="s">
        <v>55</v>
      </c>
      <c r="D58" s="21"/>
      <c r="E58" s="21"/>
      <c r="F58" s="21"/>
      <c r="G58" s="21">
        <f>100000/7-75000/7</f>
        <v>3571.4285714285725</v>
      </c>
      <c r="I58" s="19" t="s">
        <v>56</v>
      </c>
    </row>
    <row r="59" spans="1:9">
      <c r="A59" s="1" t="s">
        <v>17</v>
      </c>
      <c r="B59" s="30" t="s">
        <v>57</v>
      </c>
      <c r="D59" s="18" t="s">
        <v>53</v>
      </c>
      <c r="E59" s="7"/>
      <c r="F59" s="7"/>
      <c r="G59" s="7"/>
      <c r="H59" s="16"/>
    </row>
    <row r="60" spans="1:9">
      <c r="B60" s="3" t="s">
        <v>58</v>
      </c>
      <c r="D60" s="10">
        <f>SUM(D55:D59)</f>
        <v>-7891000</v>
      </c>
      <c r="E60" s="10">
        <f t="shared" ref="E60:G60" si="3">SUM(E55:E59)</f>
        <v>0</v>
      </c>
      <c r="F60" s="10">
        <f t="shared" si="3"/>
        <v>5675000</v>
      </c>
      <c r="G60" s="10">
        <f t="shared" si="3"/>
        <v>1003571.4285714285</v>
      </c>
    </row>
    <row r="61" spans="1:9">
      <c r="G61" s="11"/>
    </row>
    <row r="62" spans="1:9">
      <c r="B62" s="3" t="s">
        <v>59</v>
      </c>
      <c r="E62" s="53">
        <f>SUM(D60:G60)</f>
        <v>-1212428.5714285714</v>
      </c>
      <c r="F62" s="53"/>
    </row>
    <row r="63" spans="1:9">
      <c r="B63" s="1" t="s">
        <v>60</v>
      </c>
      <c r="E63" s="54">
        <v>0</v>
      </c>
      <c r="F63" s="54"/>
    </row>
    <row r="66" spans="1:10">
      <c r="B66" s="4" t="s">
        <v>61</v>
      </c>
    </row>
    <row r="67" spans="1:10">
      <c r="B67" s="5"/>
      <c r="C67" s="5"/>
      <c r="D67" s="6" t="s">
        <v>31</v>
      </c>
      <c r="E67" s="6" t="s">
        <v>32</v>
      </c>
      <c r="F67" s="6" t="s">
        <v>33</v>
      </c>
      <c r="G67" s="31" t="s">
        <v>34</v>
      </c>
      <c r="I67" s="36" t="s">
        <v>62</v>
      </c>
      <c r="J67" s="36"/>
    </row>
    <row r="68" spans="1:10">
      <c r="A68" s="1" t="s">
        <v>25</v>
      </c>
      <c r="B68" s="1" t="s">
        <v>63</v>
      </c>
      <c r="D68" s="7">
        <f>+D27</f>
        <v>1000000</v>
      </c>
      <c r="E68" s="7">
        <f>+D28</f>
        <v>-6000</v>
      </c>
      <c r="F68" s="7">
        <f>+D29</f>
        <v>850000</v>
      </c>
      <c r="G68" s="32">
        <f>+D30</f>
        <v>32000</v>
      </c>
    </row>
    <row r="69" spans="1:10">
      <c r="A69" s="1" t="s">
        <v>13</v>
      </c>
      <c r="B69" s="1" t="s">
        <v>37</v>
      </c>
      <c r="D69" s="7">
        <v>-6000</v>
      </c>
      <c r="E69" s="7">
        <f>-D69</f>
        <v>6000</v>
      </c>
      <c r="F69" s="7"/>
      <c r="G69" s="32"/>
    </row>
    <row r="70" spans="1:10">
      <c r="A70" s="5" t="s">
        <v>38</v>
      </c>
      <c r="B70" s="8" t="s">
        <v>64</v>
      </c>
      <c r="C70" s="3"/>
      <c r="D70" s="9">
        <f>SUM(D68:D69)</f>
        <v>994000</v>
      </c>
      <c r="E70" s="9">
        <f t="shared" ref="E70:G70" si="4">SUM(E68:E69)</f>
        <v>0</v>
      </c>
      <c r="F70" s="9">
        <f t="shared" si="4"/>
        <v>850000</v>
      </c>
      <c r="G70" s="33">
        <f t="shared" si="4"/>
        <v>32000</v>
      </c>
    </row>
    <row r="71" spans="1:10" ht="12" customHeight="1">
      <c r="G71" s="34"/>
    </row>
    <row r="72" spans="1:10">
      <c r="B72" s="3" t="s">
        <v>40</v>
      </c>
      <c r="G72" s="34"/>
    </row>
    <row r="73" spans="1:10" ht="12.75" customHeight="1">
      <c r="G73" s="34"/>
    </row>
    <row r="74" spans="1:10">
      <c r="B74" s="3" t="s">
        <v>43</v>
      </c>
      <c r="G74" s="34"/>
    </row>
    <row r="75" spans="1:10" ht="9" customHeight="1">
      <c r="G75" s="34"/>
    </row>
    <row r="76" spans="1:10">
      <c r="A76" s="5" t="s">
        <v>46</v>
      </c>
      <c r="B76" s="8" t="s">
        <v>65</v>
      </c>
      <c r="C76" s="3"/>
      <c r="D76" s="9">
        <f>SUM(D70:D75)</f>
        <v>994000</v>
      </c>
      <c r="E76" s="9">
        <f>SUM(E70:E75)</f>
        <v>0</v>
      </c>
      <c r="F76" s="9">
        <f>SUM(F70:F75)</f>
        <v>850000</v>
      </c>
      <c r="G76" s="33">
        <f>SUM(G70:G75)</f>
        <v>32000</v>
      </c>
      <c r="H76" s="22">
        <f>SUM(D76:G76)</f>
        <v>1876000</v>
      </c>
    </row>
    <row r="77" spans="1:10">
      <c r="A77" s="5"/>
      <c r="B77" s="42" t="s">
        <v>66</v>
      </c>
      <c r="C77" s="43"/>
      <c r="D77" s="44">
        <v>-994000</v>
      </c>
      <c r="E77" s="26"/>
      <c r="F77" s="26"/>
      <c r="G77" s="35"/>
      <c r="H77" s="27"/>
    </row>
    <row r="78" spans="1:10">
      <c r="A78" s="12"/>
      <c r="B78" s="42" t="s">
        <v>48</v>
      </c>
      <c r="C78" s="42"/>
      <c r="D78" s="45">
        <f>(D76+D77)/3</f>
        <v>0</v>
      </c>
      <c r="E78" s="45">
        <f t="shared" ref="E78" si="5">E76/3</f>
        <v>0</v>
      </c>
      <c r="F78" s="45">
        <f>F76*0.25</f>
        <v>212500</v>
      </c>
      <c r="G78" s="46"/>
      <c r="H78" s="47">
        <f>SUM(D78:G78)</f>
        <v>212500</v>
      </c>
    </row>
    <row r="79" spans="1:10">
      <c r="A79" s="12"/>
    </row>
    <row r="80" spans="1:10">
      <c r="A80" s="5" t="s">
        <v>49</v>
      </c>
      <c r="B80" s="8" t="s">
        <v>67</v>
      </c>
    </row>
    <row r="81" spans="1:9">
      <c r="B81" s="23" t="s">
        <v>68</v>
      </c>
      <c r="C81" s="23"/>
      <c r="D81" s="24">
        <f>D76</f>
        <v>994000</v>
      </c>
      <c r="E81" s="24">
        <f t="shared" ref="E81:F81" si="6">E76</f>
        <v>0</v>
      </c>
      <c r="F81" s="24">
        <f t="shared" si="6"/>
        <v>850000</v>
      </c>
      <c r="G81" s="49" t="s">
        <v>69</v>
      </c>
    </row>
    <row r="82" spans="1:9">
      <c r="A82" s="1" t="s">
        <v>13</v>
      </c>
      <c r="B82" s="1" t="s">
        <v>52</v>
      </c>
      <c r="D82" s="18" t="s">
        <v>53</v>
      </c>
      <c r="G82" s="49"/>
    </row>
    <row r="83" spans="1:9">
      <c r="G83" s="49"/>
    </row>
    <row r="84" spans="1:9">
      <c r="A84" s="1" t="s">
        <v>21</v>
      </c>
      <c r="B84" s="1" t="s">
        <v>70</v>
      </c>
      <c r="G84" s="34">
        <f>3571*6</f>
        <v>21426</v>
      </c>
      <c r="H84" s="13" t="s">
        <v>71</v>
      </c>
      <c r="I84" s="1" t="s">
        <v>72</v>
      </c>
    </row>
    <row r="85" spans="1:9">
      <c r="B85" s="3" t="s">
        <v>58</v>
      </c>
      <c r="D85" s="29">
        <f>SUM(D81:D84)</f>
        <v>994000</v>
      </c>
      <c r="E85" s="10">
        <f>SUM(E81:E84)</f>
        <v>0</v>
      </c>
      <c r="F85" s="10">
        <f>SUM(F81:F84)</f>
        <v>850000</v>
      </c>
      <c r="G85" s="10">
        <f>SUM(G81:G84)</f>
        <v>21426</v>
      </c>
    </row>
    <row r="86" spans="1:9">
      <c r="D86" s="7"/>
      <c r="E86" s="7"/>
      <c r="F86" s="7"/>
      <c r="G86" s="7"/>
    </row>
    <row r="87" spans="1:9">
      <c r="B87" s="3" t="s">
        <v>73</v>
      </c>
      <c r="D87" s="7"/>
      <c r="E87" s="50">
        <f>SUM(D85:G85)</f>
        <v>1865426</v>
      </c>
      <c r="F87" s="50"/>
      <c r="G87" s="7"/>
    </row>
    <row r="88" spans="1:9">
      <c r="B88" s="1" t="s">
        <v>74</v>
      </c>
      <c r="D88" s="7"/>
      <c r="E88" s="7"/>
      <c r="F88" s="37">
        <f>E62</f>
        <v>-1212428.5714285714</v>
      </c>
      <c r="G88" s="7"/>
      <c r="I88" s="1" t="s">
        <v>75</v>
      </c>
    </row>
    <row r="89" spans="1:9">
      <c r="B89" s="3" t="s">
        <v>76</v>
      </c>
      <c r="D89" s="7"/>
      <c r="E89" s="7"/>
      <c r="F89" s="38">
        <f>E87+F88</f>
        <v>652997.42857142864</v>
      </c>
      <c r="G89" s="7"/>
    </row>
    <row r="90" spans="1:9">
      <c r="B90" s="1" t="s">
        <v>60</v>
      </c>
      <c r="D90" s="7"/>
      <c r="E90" s="7"/>
      <c r="F90" s="48">
        <f>F89*0.25</f>
        <v>163249.35714285716</v>
      </c>
      <c r="G90" s="7"/>
    </row>
  </sheetData>
  <mergeCells count="8">
    <mergeCell ref="G81:G83"/>
    <mergeCell ref="E87:F87"/>
    <mergeCell ref="B3:H3"/>
    <mergeCell ref="B16:H16"/>
    <mergeCell ref="B21:H21"/>
    <mergeCell ref="B24:H24"/>
    <mergeCell ref="E62:F62"/>
    <mergeCell ref="E63:F63"/>
  </mergeCell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2FF1FBACEFC74E9404CF48892D48D0" ma:contentTypeVersion="8" ma:contentTypeDescription="Crée un document." ma:contentTypeScope="" ma:versionID="6f11d5a3854d4448f4b219193e2fe77a">
  <xsd:schema xmlns:xsd="http://www.w3.org/2001/XMLSchema" xmlns:xs="http://www.w3.org/2001/XMLSchema" xmlns:p="http://schemas.microsoft.com/office/2006/metadata/properties" xmlns:ns2="a901e2e2-a62f-4395-a09a-48037a1915a3" targetNamespace="http://schemas.microsoft.com/office/2006/metadata/properties" ma:root="true" ma:fieldsID="c01605394c993a0a3b401516a8aa9f0c" ns2:_="">
    <xsd:import namespace="a901e2e2-a62f-4395-a09a-48037a1915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1e2e2-a62f-4395-a09a-48037a191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7B6AB1-B5F5-4B4B-BA49-71BCCE5D9D2D}"/>
</file>

<file path=customXml/itemProps2.xml><?xml version="1.0" encoding="utf-8"?>
<ds:datastoreItem xmlns:ds="http://schemas.openxmlformats.org/officeDocument/2006/customXml" ds:itemID="{4EEEA704-2059-461B-9DED-24ECFB2A9686}"/>
</file>

<file path=customXml/itemProps3.xml><?xml version="1.0" encoding="utf-8"?>
<ds:datastoreItem xmlns:ds="http://schemas.openxmlformats.org/officeDocument/2006/customXml" ds:itemID="{2CA73680-98A3-4EEB-982B-4929F1FB9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FRP</dc:creator>
  <cp:keywords/>
  <dc:description/>
  <cp:lastModifiedBy>BOURSIER Florence</cp:lastModifiedBy>
  <cp:revision/>
  <dcterms:created xsi:type="dcterms:W3CDTF">2011-09-19T16:13:06Z</dcterms:created>
  <dcterms:modified xsi:type="dcterms:W3CDTF">2026-04-27T11:22:49Z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0x0101008C2FF1FBACEFC74E9404CF48892D48D0</vt:lpwstr>
  </property>
</Properties>
</file>